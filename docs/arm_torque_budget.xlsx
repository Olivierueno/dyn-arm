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state="visible" name="Torque Budget" sheetId="1" r:id="rId1"/>
  </sheets>
  <definedNames/>
  <calcPr calcId="124519" fullCalcOnLoad="1"/>
</workbook>
</file>

<file path=xl/sharedStrings.xml><?xml version="1.0" encoding="utf-8"?>
<sst xmlns="http://schemas.openxmlformats.org/spreadsheetml/2006/main">
  <si>
    <t>3-DOF Arm Torque Budget  (static sizing tool)</t>
  </si>
  <si>
    <t>Worst case = arm fully horizontal. Edit blue inputs / yellow assumptions; results recalc live in Excel, Google Sheets or LibreOffice.</t>
  </si>
  <si>
    <t>CONSTANTS</t>
  </si>
  <si>
    <t>Gravity g (m/s^2)</t>
  </si>
  <si>
    <t>Design fraction of stall torque</t>
  </si>
  <si>
    <t>never design to stall; 0.30 leaves ~3x margin for heat + dynamics</t>
  </si>
  <si>
    <t>MOTORS  (ROBOTIS X-series datasheet)</t>
  </si>
  <si>
    <t>Joint</t>
  </si>
  <si>
    <t>Motor</t>
  </si>
  <si>
    <t>Stall torque (N.m)</t>
  </si>
  <si>
    <t>Mass (g)</t>
  </si>
  <si>
    <t>id3: elbow (base joint)</t>
  </si>
  <si>
    <t>XM540-W270</t>
  </si>
  <si>
    <t>id2: wrist</t>
  </si>
  <si>
    <t>XM430-W210</t>
  </si>
  <si>
    <t>id1: gripper</t>
  </si>
  <si>
    <t>XM430-W210</t>
  </si>
  <si>
    <t>INPUTS  (edit the yellow cells)</t>
  </si>
  <si>
    <t>L1 - forearm link length (mm)</t>
  </si>
  <si>
    <t>L2 - hand link length (mm)</t>
  </si>
  <si>
    <t>Forearm link mass (g)</t>
  </si>
  <si>
    <t>from CAD mass properties (PLA ~1.24 g/cm3, derate for infill)</t>
  </si>
  <si>
    <t>Hand link mass (g)</t>
  </si>
  <si>
    <t>from CAD mass properties</t>
  </si>
  <si>
    <t>Payload at gripper (g)</t>
  </si>
  <si>
    <t>Reach = L1 + L2 (mm)</t>
  </si>
  <si>
    <t>STATIC TORQUE  (sum of weight x horizontal distance)</t>
  </si>
  <si>
    <t>Component</t>
  </si>
  <si>
    <t>Mass (g)</t>
  </si>
  <si>
    <t>Dist from elbow (mm)</t>
  </si>
  <si>
    <t>Moment @ elbow (N.m)</t>
  </si>
  <si>
    <t>Dist from wrist (mm)</t>
  </si>
  <si>
    <t>Moment @ wrist (N.m)</t>
  </si>
  <si>
    <t>Forearm link</t>
  </si>
  <si>
    <t>Wrist motor (XM430)</t>
  </si>
  <si>
    <t>Hand link</t>
  </si>
  <si>
    <t>Gripper motor (XM430)</t>
  </si>
  <si>
    <t>Payload</t>
  </si>
  <si>
    <t>TOTAL = required joint torque</t>
  </si>
  <si>
    <t>RESULTS  (required vs budget)</t>
  </si>
  <si>
    <t>Joint</t>
  </si>
  <si>
    <t>Required torque (N.m)</t>
  </si>
  <si>
    <t>Budget = stall x fraction (N.m)</t>
  </si>
  <si>
    <t>Utilization</t>
  </si>
  <si>
    <t>Verdict</t>
  </si>
  <si>
    <t>Safety factor to stall</t>
  </si>
  <si>
    <t>id3: elbow</t>
  </si>
  <si>
    <t>PASS</t>
  </si>
  <si>
    <t>OVER BUDGET</t>
  </si>
  <si>
    <t>-</t>
  </si>
  <si>
    <t>id2: wrist</t>
  </si>
  <si>
    <t>PASS</t>
  </si>
  <si>
    <t>OVER BUDGET</t>
  </si>
  <si>
    <t>-</t>
  </si>
  <si>
    <t>METHOD &amp; NOTES</t>
  </si>
  <si>
    <t>- Worst-case static: arm horizontal so every weight acts at its maximum horizontal moment arm.</t>
  </si>
  <si>
    <t>- Joint torque = sum over all masses BEYOND that joint of (weight x horizontal distance to the joint axis).</t>
  </si>
  <si>
    <t>- Assumptions: link CoG at its midpoint; motors are point masses at their joints; gripper motor + payload at the tip.</t>
  </si>
  <si>
    <t>- STATIC only. The 30% stall fraction (=&gt; ~3x safety factor) absorbs acceleration; for fast moves also check torque = inertia x angular-accel.</t>
  </si>
  <si>
    <t>- Proximal joints carry the most torque: the elbow supports everything; the wrist only what is past it. Watch the wrist (id2) utilization - it usually binds first.</t>
  </si>
  <si>
    <t>- Distal mass compounds: every gram far out on the arm taxes every joint behind it. The wrist motor mass sits at L1 from the elbow.</t>
  </si>
  <si>
    <t>- Gripper (id1) is a grip-FORCE problem, not gravity torque, so it is not modeled here.</t>
  </si>
  <si>
    <t>- Color key: BLUE = input you change, YELLOW = key assumption, BLACK = formula.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</si>
</sst>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3" mc:Ignorable="x14ac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0.0"/>
    <numFmt numFmtId="165" formatCode="0.000"/>
    <numFmt numFmtId="166" formatCode="0.0&quot;x&quot;"/>
  </numFmts>
  <fonts count="7">
    <font>
      <name val="Calibri"/>
      <family val="2"/>
      <color rgb="FF000000"/>
      <sz val="11"/>
      <scheme val="minor"/>
    </font>
    <font>
      <name val="Arial"/>
      <b/>
      <color rgb="FF000000"/>
      <sz val="14"/>
    </font>
    <font>
      <name val="Arial"/>
      <i/>
      <color rgb="FF555555"/>
      <sz val="9"/>
    </font>
    <font>
      <name val="Arial"/>
      <b/>
      <color rgb="FFFFFFFF"/>
      <sz val="12"/>
    </font>
    <font>
      <name val="Arial"/>
      <color rgb="FF000000"/>
      <sz val="12"/>
    </font>
    <font>
      <name val="Arial"/>
      <color rgb="FF0000FF"/>
      <sz val="12"/>
    </font>
    <font>
      <name val="Arial"/>
      <b/>
      <color rgb="FF000000"/>
      <sz val="12"/>
    </font>
  </fonts>
  <fills count="5">
    <fill>
      <patternFill patternType="solid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/>
    <xf numFmtId="2" fontId="5" fillId="0" borderId="0" xfId="0" applyNumberFormat="1" applyFont="1"/>
    <xf numFmtId="9" fontId="5" fillId="3" borderId="0" xfId="0" applyNumberFormat="1" applyFont="1" applyFill="1"/>
    <xf numFmtId="0" fontId="6" fillId="4" borderId="0" xfId="0" applyFont="1" applyFill="1"/>
    <xf numFmtId="164" fontId="5" fillId="0" borderId="0" xfId="0" applyNumberFormat="1" applyFont="1"/>
    <xf numFmtId="1" fontId="5" fillId="0" borderId="0" xfId="0" applyNumberFormat="1" applyFont="1"/>
    <xf numFmtId="1" fontId="5" fillId="3" borderId="0" xfId="0" applyNumberFormat="1" applyFont="1" applyFill="1"/>
    <xf numFmtId="1" fontId="4" fillId="0" borderId="0" xfId="0" applyNumberFormat="1" applyFont="1"/>
    <xf numFmtId="165" fontId="4" fillId="0" borderId="0" xfId="0" applyNumberFormat="1" applyFont="1"/>
    <xf numFmtId="0" fontId="6" fillId="0" borderId="0" xfId="0" applyFont="1"/>
    <xf numFmtId="165" fontId="6" fillId="0" borderId="0" xfId="0" applyNumberFormat="1" applyFont="1"/>
    <xf numFmtId="9" fontId="4" fillId="0" borderId="0" xfId="0" applyNumberFormat="1" applyFont="1"/>
    <xf numFmtId="166" fontId="4" fillId="0" borderId="0" xfId="0" applyNumberFormat="1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Arial"/>
        <b val="1"/>
        <color rgb="00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 TargetMode="Internal"/><Relationship Id="rId2" Type="http://schemas.openxmlformats.org/officeDocument/2006/relationships/styles" Target="styles.xml" TargetMode="Internal"/><Relationship Id="rId3" Type="http://schemas.openxmlformats.org/officeDocument/2006/relationships/theme" Target="theme/theme1.xml" TargetMode="Interna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1" summaryRight="1"/>
    <pageSetUpPr/>
  </sheetPr>
  <sheetViews>
    <sheetView workbookViewId="0">
      <selection pane="topLeft" activeCell="B17" sqref="B17"/>
    </sheetView>
  </sheetViews>
  <sheetFormatPr baseColWidth="8" defaultRowHeight="15"/>
  <cols>
    <col min="1" max="1" width="34" customWidth="1"/>
    <col min="2" max="2" width="22.99" customWidth="1"/>
    <col min="3" max="3" width="28" customWidth="1"/>
    <col min="4" max="6" width="2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>
        <v>9.81</v>
      </c>
    </row>
    <row r="6">
      <c r="A6" s="4" t="s">
        <v>4</v>
      </c>
      <c r="B6" s="6">
        <v>0.3</v>
      </c>
      <c r="C6" s="2" t="s">
        <v>5</v>
      </c>
    </row>
    <row r="8">
      <c r="A8" s="3" t="s">
        <v>6</v>
      </c>
    </row>
    <row r="9">
      <c r="A9" s="7" t="s">
        <v>7</v>
      </c>
      <c r="B9" s="7" t="s">
        <v>8</v>
      </c>
      <c r="C9" s="7" t="s">
        <v>9</v>
      </c>
      <c r="D9" s="7" t="s">
        <v>10</v>
      </c>
    </row>
    <row r="10">
      <c r="A10" s="4" t="s">
        <v>11</v>
      </c>
      <c r="B10" s="4" t="s">
        <v>12</v>
      </c>
      <c r="C10" s="8">
        <v>10.6</v>
      </c>
      <c r="D10" s="9">
        <v>165</v>
      </c>
    </row>
    <row r="11">
      <c r="A11" s="4" t="s">
        <v>13</v>
      </c>
      <c r="B11" s="4" t="s">
        <v>14</v>
      </c>
      <c r="C11" s="8">
        <v>3</v>
      </c>
      <c r="D11" s="9">
        <v>82</v>
      </c>
    </row>
    <row r="12">
      <c r="A12" s="4" t="s">
        <v>15</v>
      </c>
      <c r="B12" s="4" t="s">
        <v>16</v>
      </c>
      <c r="C12" s="8">
        <v>3</v>
      </c>
      <c r="D12" s="9">
        <v>82</v>
      </c>
    </row>
    <row r="14">
      <c r="A14" s="3" t="s">
        <v>17</v>
      </c>
    </row>
    <row r="15">
      <c r="A15" s="4" t="s">
        <v>18</v>
      </c>
      <c r="B15" s="10">
        <v>140</v>
      </c>
    </row>
    <row r="16">
      <c r="A16" s="4" t="s">
        <v>19</v>
      </c>
      <c r="B16" s="10">
        <v>140</v>
      </c>
    </row>
    <row r="17">
      <c r="A17" s="4" t="s">
        <v>20</v>
      </c>
      <c r="B17" s="10">
        <v>60</v>
      </c>
      <c r="C17" s="2" t="s">
        <v>21</v>
      </c>
    </row>
    <row r="18">
      <c r="A18" s="4" t="s">
        <v>22</v>
      </c>
      <c r="B18" s="10">
        <v>40</v>
      </c>
      <c r="C18" s="2" t="s">
        <v>23</v>
      </c>
    </row>
    <row r="19">
      <c r="A19" s="4" t="s">
        <v>24</v>
      </c>
      <c r="B19" s="10">
        <v>100</v>
      </c>
    </row>
    <row r="20">
      <c r="A20" s="4" t="s">
        <v>25</v>
      </c>
      <c r="B20" s="11">
        <f>B15+B16</f>
        <v>280</v>
      </c>
    </row>
    <row r="22">
      <c r="A22" s="3" t="s">
        <v>26</v>
      </c>
    </row>
    <row r="23">
      <c r="A23" s="7" t="s">
        <v>27</v>
      </c>
      <c r="B23" s="7" t="s">
        <v>28</v>
      </c>
      <c r="C23" s="7" t="s">
        <v>29</v>
      </c>
      <c r="D23" s="7" t="s">
        <v>30</v>
      </c>
      <c r="E23" s="7" t="s">
        <v>31</v>
      </c>
      <c r="F23" s="7" t="s">
        <v>32</v>
      </c>
    </row>
    <row r="24">
      <c r="A24" s="4" t="s">
        <v>33</v>
      </c>
      <c r="B24" s="11">
        <f>B17</f>
        <v>60</v>
      </c>
      <c r="C24" s="11">
        <f>B15/2</f>
        <v>70</v>
      </c>
      <c r="D24" s="12">
        <f>B24*C24*$B$5*0.000001</f>
        <v>0.041202</v>
      </c>
      <c r="E24" s="11">
        <f>C24-$B$15</f>
        <v>-70</v>
      </c>
      <c r="F24" s="12">
        <f>B24*MAX(0,E24)*$B$5*0.000001</f>
        <v>0</v>
      </c>
    </row>
    <row r="25">
      <c r="A25" s="4" t="s">
        <v>34</v>
      </c>
      <c r="B25" s="11">
        <f>D11</f>
        <v>82</v>
      </c>
      <c r="C25" s="11">
        <f>B15</f>
        <v>140</v>
      </c>
      <c r="D25" s="12">
        <f>B25*C25*$B$5*0.000001</f>
        <v>0.1126188</v>
      </c>
      <c r="E25" s="11">
        <f>C25-$B$15</f>
        <v>0</v>
      </c>
      <c r="F25" s="12">
        <f>B25*MAX(0,E25)*$B$5*0.000001</f>
        <v>0</v>
      </c>
    </row>
    <row r="26">
      <c r="A26" s="4" t="s">
        <v>35</v>
      </c>
      <c r="B26" s="11">
        <f>B18</f>
        <v>40</v>
      </c>
      <c r="C26" s="11">
        <f>B15+B16/2</f>
        <v>210</v>
      </c>
      <c r="D26" s="12">
        <f>B26*C26*$B$5*0.000001</f>
        <v>0.082404</v>
      </c>
      <c r="E26" s="11">
        <f>C26-$B$15</f>
        <v>70</v>
      </c>
      <c r="F26" s="12">
        <f>B26*MAX(0,E26)*$B$5*0.000001</f>
        <v>0.027468</v>
      </c>
    </row>
    <row r="27">
      <c r="A27" s="4" t="s">
        <v>36</v>
      </c>
      <c r="B27" s="11">
        <f>D12</f>
        <v>82</v>
      </c>
      <c r="C27" s="11">
        <f>B15+B16</f>
        <v>280</v>
      </c>
      <c r="D27" s="12">
        <f>B27*C27*$B$5*0.000001</f>
        <v>0.2252376</v>
      </c>
      <c r="E27" s="11">
        <f>C27-$B$15</f>
        <v>140</v>
      </c>
      <c r="F27" s="12">
        <f>B27*MAX(0,E27)*$B$5*0.000001</f>
        <v>0.1126188</v>
      </c>
    </row>
    <row r="28">
      <c r="A28" s="4" t="s">
        <v>37</v>
      </c>
      <c r="B28" s="11">
        <f>B19</f>
        <v>100</v>
      </c>
      <c r="C28" s="11">
        <f>B15+B16</f>
        <v>280</v>
      </c>
      <c r="D28" s="12">
        <f>B28*C28*$B$5*0.000001</f>
        <v>0.27468</v>
      </c>
      <c r="E28" s="11">
        <f>C28-$B$15</f>
        <v>140</v>
      </c>
      <c r="F28" s="12">
        <f>B28*MAX(0,E28)*$B$5*0.000001</f>
        <v>0.13734</v>
      </c>
    </row>
    <row r="29">
      <c r="A29" s="13" t="s">
        <v>38</v>
      </c>
      <c r="D29" s="14">
        <f>SUM(D24:D28)</f>
        <v>0.7361424</v>
      </c>
      <c r="F29" s="14">
        <f>SUM(F24:F28)</f>
        <v>0.2774268</v>
      </c>
    </row>
    <row r="31">
      <c r="A31" s="3" t="s">
        <v>39</v>
      </c>
    </row>
    <row r="32">
      <c r="A32" s="7" t="s">
        <v>40</v>
      </c>
      <c r="B32" s="7" t="s">
        <v>41</v>
      </c>
      <c r="C32" s="7" t="s">
        <v>42</v>
      </c>
      <c r="D32" s="7" t="s">
        <v>43</v>
      </c>
      <c r="E32" s="7" t="s">
        <v>44</v>
      </c>
      <c r="F32" s="7" t="s">
        <v>45</v>
      </c>
    </row>
    <row r="33">
      <c r="A33" s="4" t="s">
        <v>46</v>
      </c>
      <c r="B33" s="12">
        <f>D29</f>
        <v>0.7361424</v>
      </c>
      <c r="C33" s="12">
        <f>C10*$B$6</f>
        <v>3.18</v>
      </c>
      <c r="D33" s="15">
        <f>IFERROR(B33/C33,0)</f>
        <v>0.231491320754717</v>
      </c>
      <c r="E33" s="4" t="str">
        <f>IF(B33&lt;=C33,"PASS","OVER BUDGET")</f>
        <v>PASS</v>
      </c>
      <c r="F33" s="16">
        <f>IFERROR(C10/B33,"-")</f>
        <v>14.3993879445064</v>
      </c>
    </row>
    <row r="34">
      <c r="A34" s="4" t="s">
        <v>50</v>
      </c>
      <c r="B34" s="12">
        <f>F29</f>
        <v>0.2774268</v>
      </c>
      <c r="C34" s="12">
        <f>C11*$B$6</f>
        <v>0.9</v>
      </c>
      <c r="D34" s="15">
        <f>IFERROR(B34/C34,0)</f>
        <v>0.308252</v>
      </c>
      <c r="E34" s="4" t="str">
        <f>IF(B34&lt;=C34,"PASS","OVER BUDGET")</f>
        <v>PASS</v>
      </c>
      <c r="F34" s="16">
        <f>IFERROR(C11/B34,"-")</f>
        <v>10.8136632798273</v>
      </c>
    </row>
    <row r="36">
      <c r="A36" s="3" t="s">
        <v>54</v>
      </c>
    </row>
    <row r="37">
      <c r="A37" s="17" t="s">
        <v>55</v>
      </c>
    </row>
    <row r="38">
      <c r="A38" s="17" t="s">
        <v>56</v>
      </c>
    </row>
    <row r="39">
      <c r="A39" s="17" t="s">
        <v>57</v>
      </c>
    </row>
    <row r="40">
      <c r="A40" s="17" t="s">
        <v>58</v>
      </c>
    </row>
    <row r="41">
      <c r="A41" s="17" t="s">
        <v>59</v>
      </c>
    </row>
    <row r="42">
      <c r="A42" s="17" t="s">
        <v>60</v>
      </c>
    </row>
    <row r="43">
      <c r="A43" s="17" t="s">
        <v>61</v>
      </c>
    </row>
    <row r="44">
      <c r="A44" s="17" t="s">
        <v>62</v>
      </c>
    </row>
  </sheetData>
  <mergeCells count="16">
    <mergeCell ref="A38:F38"/>
    <mergeCell ref="A2:F2"/>
    <mergeCell ref="A41:F41"/>
    <mergeCell ref="A42:F42"/>
    <mergeCell ref="A36:F36"/>
    <mergeCell ref="A14:F14"/>
    <mergeCell ref="A44:F44"/>
    <mergeCell ref="A1:F1"/>
    <mergeCell ref="A37:F37"/>
    <mergeCell ref="A8:F8"/>
    <mergeCell ref="A31:F31"/>
    <mergeCell ref="A22:F22"/>
    <mergeCell ref="A40:F40"/>
    <mergeCell ref="A4:F4"/>
    <mergeCell ref="A39:F39"/>
    <mergeCell ref="A43:F43"/>
  </mergeCells>
  <conditionalFormatting sqref="E33:E34">
    <cfRule type="expression" priority="1" dxfId="0">
      <formula>$E33="PASS"</formula>
    </cfRule>
    <cfRule type="expression" priority="2" dxfId="1">
      <formula>$E33="OVER BUDGET"</formula>
    </cfRule>
  </conditionalFormatting>
  <conditionalFormatting sqref="D33:D34">
    <cfRule type="expression" priority="3" dxfId="2">
      <formula>D33&gt;1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2026-06-05T05:06:28Z</dcterms:created>
  <dcterms:modified xsi:type="dcterms:W3CDTF">2026-06-05T05:06:28Z</dcterms:modified>
</cp:coreProperties>
</file>